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Helper_Columns" sheetId="3" state="visible" r:id="rId5"/>
    <sheet name="Q2_Analysis" sheetId="4" state="visible" r:id="rId6"/>
    <sheet name="Formula_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<sst xmlns="http://schemas.openxmlformats.org/spreadsheetml/2006/main" count="145" uniqueCount="79">
  <si>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</si>
  <si>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</si>
  <si>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</si>
  <si>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</si>
  <si>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</si>
  <si>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</si>
  <si>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</si>
  <si>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</si>
  <si>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</si>
  <si>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</si>
  <si>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</si>
  <si>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</si>
  <si>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</si>
  <si>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</si>
  <si>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cms-001</t>
  </si>
  <si>
    <t xml:space="preserve">abc-123-xyz</t>
  </si>
  <si>
    <t xml:space="preserve">2021-08-21 09:00:00</t>
  </si>
  <si>
    <t xml:space="preserve">2021-08-21 09:45:00</t>
  </si>
  <si>
    <t xml:space="preserve">cms-002</t>
  </si>
  <si>
    <t xml:space="preserve">def-456-uvw</t>
  </si>
  <si>
    <t xml:space="preserve">2021-08-22 08:30:00</t>
  </si>
  <si>
    <t xml:space="preserve">2021-08-23 10:00:00</t>
  </si>
  <si>
    <t xml:space="preserve">outlet-003</t>
  </si>
  <si>
    <t xml:space="preserve">cms-003</t>
  </si>
  <si>
    <t xml:space="preserve">ghi-789-rst</t>
  </si>
  <si>
    <t xml:space="preserve">2021-08-23 14:00:00</t>
  </si>
  <si>
    <t xml:space="preserve">2021-08-23 14:55:00</t>
  </si>
  <si>
    <t xml:space="preserve">cms-004</t>
  </si>
  <si>
    <t xml:space="preserve">jkl-012-opq</t>
  </si>
  <si>
    <t xml:space="preserve">2021-08-24 10:15:00</t>
  </si>
  <si>
    <t xml:space="preserve">2021-08-24 10:50:00</t>
  </si>
  <si>
    <t xml:space="preserve">cms-005</t>
  </si>
  <si>
    <t xml:space="preserve">mno-345-lmn</t>
  </si>
  <si>
    <t xml:space="preserve">2021-08-25 07:00:00</t>
  </si>
  <si>
    <t xml:space="preserve">2021-08-26 08:00:00</t>
  </si>
  <si>
    <t xml:space="preserve">cms-006</t>
  </si>
  <si>
    <t xml:space="preserve">pqr-678-ijk</t>
  </si>
  <si>
    <t xml:space="preserve">2021-08-25 13:30:00</t>
  </si>
  <si>
    <t xml:space="preserve">2021-08-25 13:58:00</t>
  </si>
  <si>
    <t xml:space="preserve">cms-007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</si>
  <si>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</si>
  <si>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</si>
  <si>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</si>
  <si>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</si>
  <si>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09:00:00</t>
  </si>
  <si>
    <t xml:space="preserve">2021-08-21 10:30:00</t>
  </si>
  <si>
    <t xml:space="preserve">2021-08-23 11:00:00</t>
  </si>
  <si>
    <t xml:space="preserve">2021-08-23 16:00:00</t>
  </si>
  <si>
    <t xml:space="preserve">2021-08-24 12:00:00</t>
  </si>
  <si>
    <t xml:space="preserve">2021-08-26 09:00:00</t>
  </si>
  <si>
    <t xml:space="preserve">2021-08-25 15:00:00</t>
  </si>
  <si>
    <t xml:space="preserve">Ticket Analysis — Helper Columns (Spreadsheet Q2)</t>
  </si>
  <si>
    <t xml:space="preserve">Same_Day?</t>
  </si>
  <si>
    <t xml:space="preserve">Same_Hour?</t>
  </si>
  <si>
    <t xml:space="preserve">Outlet-wise Ticket Analysis (Q2a: Same Day | Q2b: Same Hour)</t>
  </si>
  <si>
    <t xml:space="preserve">Q2a: Tickets Created &amp; Closed on the SAME DAY</t>
  </si>
  <si>
    <t xml:space="preserve">Outlet ID</t>
  </si>
  <si>
    <t xml:space="preserve">Same Day Count</t>
  </si>
  <si>
    <t xml:space="preserve">Q2b: Tickets Created &amp; Closed in the SAME HOUR of the Same Day</t>
  </si>
  <si>
    <t xml:space="preserve">Same Hour Count</t>
  </si>
  <si>
    <t xml:space="preserve">Spreadsheet Formula Reference — PlatinumRx Assignment</t>
  </si>
  <si>
    <t xml:space="preserve">Sheet</t>
  </si>
  <si>
    <t xml:space="preserve">Formula</t>
  </si>
  <si>
    <t xml:space="preserve">Purpose</t>
  </si>
  <si>
    <t xml:space="preserve">feedbacks (D2:D9)</t>
  </si>
  <si>
    <t xml:space="preserve">Q1: Pulls ticket created_at into feedbacks using cms_id as key</t>
  </si>
  <si>
    <t xml:space="preserve">Helper_Columns (F3:F10)</t>
  </si>
  <si>
    <t xml:space="preserve">COUNTIFS(Helper_Columns!D3:D100,A5,Helper_Columns!F3:F100,TRUE)</t>
  </si>
  <si>
    <t xml:space="preserve">Q2a: TRUE if ticket created &amp; closed on the same calendar day</t>
  </si>
  <si>
    <t xml:space="preserve">Helper_Columns (G3:G10)</t>
  </si>
  <si>
    <t xml:space="preserve">IFERROR(INDEX(ticket!B:B,MATCH(A2,ticket!E:E,0)),"")</t>
  </si>
  <si>
    <t xml:space="preserve">Q2b: TRUE if ticket created &amp; closed within the same hour</t>
  </si>
  <si>
    <t xml:space="preserve">Q2_Analysis (B5:B7)</t>
  </si>
  <si>
    <t xml:space="preserve">IF(INT(B3)=INT(C3),TRUE,FALSE)</t>
  </si>
  <si>
    <t xml:space="preserve">Q2a: Count of same-day tickets per outlet</t>
  </si>
  <si>
    <t xml:space="preserve">Q2_Analysis (B12:B14)</t>
  </si>
  <si>
    <t xml:space="preserve">IF(TEXT(B3,"YYYY-MM-DD HH")=TEXT(C3,"YYYY-MM-DD HH"),TRUE,FALSE)</t>
  </si>
  <si>
    <t xml:space="preserve">Q2b: Count of same-hour tickets per outlet</t>
  </si>
  <si>
    <t xml:space="preserve">COUNTIFS(Helper_Columns!D3:D100,A12,Helper_Columns!G3:G100,TRUE)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</si>
</sst>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F497D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496"/>
      <rgbColor rgb="FFAAAAAA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1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8</v>
      </c>
      <c r="E4" s="3" t="s">
        <v>18</v>
      </c>
    </row>
    <row r="5" customFormat="false" ht="15" hidden="false" customHeight="true" outlineLevel="0" collapsed="false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customFormat="false" ht="15" hidden="false" customHeight="true" outlineLevel="0" collapsed="false">
      <c r="A6" s="3" t="s">
        <v>24</v>
      </c>
      <c r="B6" s="3" t="s">
        <v>25</v>
      </c>
      <c r="C6" s="3" t="s">
        <v>26</v>
      </c>
      <c r="D6" s="3" t="s">
        <v>13</v>
      </c>
      <c r="E6" s="3" t="s">
        <v>27</v>
      </c>
    </row>
    <row r="7" customFormat="false" ht="15" hidden="false" customHeight="true" outlineLevel="0" collapsed="false">
      <c r="A7" s="3" t="s">
        <v>28</v>
      </c>
      <c r="B7" s="3" t="s">
        <v>29</v>
      </c>
      <c r="C7" s="3" t="s">
        <v>30</v>
      </c>
      <c r="D7" s="3" t="s">
        <v>22</v>
      </c>
      <c r="E7" s="3" t="s">
        <v>31</v>
      </c>
    </row>
    <row r="8" customFormat="false" ht="15" hidden="false" customHeight="true" outlineLevel="0" collapsed="false">
      <c r="A8" s="3" t="s">
        <v>32</v>
      </c>
      <c r="B8" s="3" t="s">
        <v>33</v>
      </c>
      <c r="C8" s="3" t="s">
        <v>34</v>
      </c>
      <c r="D8" s="3" t="s">
        <v>8</v>
      </c>
      <c r="E8" s="3" t="s">
        <v>35</v>
      </c>
    </row>
    <row r="9" customFormat="false" ht="15" hidden="false" customHeight="true" outlineLevel="0" collapsed="false">
      <c r="A9" s="3" t="s">
        <v>36</v>
      </c>
      <c r="B9" s="3" t="s">
        <v>37</v>
      </c>
      <c r="C9" s="3" t="s">
        <v>38</v>
      </c>
      <c r="D9" s="3" t="s">
        <v>13</v>
      </c>
      <c r="E9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</cols>
  <sheetData>
    <row r="1" customFormat="false" ht="30" hidden="false" customHeight="true" outlineLevel="0" collapsed="false">
      <c r="A1" s="2" t="s">
        <v>4</v>
      </c>
      <c r="B1" s="2" t="s">
        <v>40</v>
      </c>
      <c r="C1" s="2" t="s">
        <v>41</v>
      </c>
      <c r="D1" s="2" t="s">
        <v>42</v>
      </c>
    </row>
    <row r="2" customFormat="false" ht="15" hidden="false" customHeight="true" outlineLevel="0" collapsed="false">
      <c r="A2" s="3" t="s">
        <v>9</v>
      </c>
      <c r="B2" s="3" t="s">
        <v>43</v>
      </c>
      <c r="C2" s="3" t="n">
        <v>3</v>
      </c>
      <c r="D2" s="4" t="str">
        <f aca="false">IFERROR(INDEX(ticket!B:B,MATCH(A2,ticket!E:E,0)),"")</f>
        <v>2021-08-19 16:45:43</v>
      </c>
    </row>
    <row r="3" customFormat="false" ht="15" hidden="false" customHeight="true" outlineLevel="0" collapsed="false">
      <c r="A3" s="3" t="s">
        <v>14</v>
      </c>
      <c r="B3" s="3" t="s">
        <v>44</v>
      </c>
      <c r="C3" s="3" t="n">
        <v>5</v>
      </c>
      <c r="D3" s="4" t="str">
        <f aca="false">IFERROR(INDEX(ticket!B:B,MATCH(A3,ticket!E:E,0)),"")</f>
        <v>2021-08-21 11:09:22</v>
      </c>
    </row>
    <row r="4" customFormat="false" ht="15" hidden="false" customHeight="true" outlineLevel="0" collapsed="false">
      <c r="A4" s="3" t="s">
        <v>18</v>
      </c>
      <c r="B4" s="3" t="s">
        <v>45</v>
      </c>
      <c r="C4" s="3" t="n">
        <v>4</v>
      </c>
      <c r="D4" s="4" t="str">
        <f aca="false">IFERROR(INDEX(ticket!B:B,MATCH(A4,ticket!E:E,0)),"")</f>
        <v>2021-08-21 09:00:00</v>
      </c>
    </row>
    <row r="5" customFormat="false" ht="15" hidden="false" customHeight="true" outlineLevel="0" collapsed="false">
      <c r="A5" s="3" t="s">
        <v>23</v>
      </c>
      <c r="B5" s="3" t="s">
        <v>46</v>
      </c>
      <c r="C5" s="3" t="n">
        <v>2</v>
      </c>
      <c r="D5" s="4" t="str">
        <f aca="false">IFERROR(INDEX(ticket!B:B,MATCH(A5,ticket!E:E,0)),"")</f>
        <v>2021-08-22 08:30:00</v>
      </c>
    </row>
    <row r="6" customFormat="false" ht="15" hidden="false" customHeight="true" outlineLevel="0" collapsed="false">
      <c r="A6" s="3" t="s">
        <v>27</v>
      </c>
      <c r="B6" s="3" t="s">
        <v>47</v>
      </c>
      <c r="C6" s="3" t="n">
        <v>5</v>
      </c>
      <c r="D6" s="4" t="str">
        <f aca="false">IFERROR(INDEX(ticket!B:B,MATCH(A6,ticket!E:E,0)),"")</f>
        <v>2021-08-23 14:00:00</v>
      </c>
    </row>
    <row r="7" customFormat="false" ht="15" hidden="false" customHeight="true" outlineLevel="0" collapsed="false">
      <c r="A7" s="3" t="s">
        <v>31</v>
      </c>
      <c r="B7" s="3" t="s">
        <v>48</v>
      </c>
      <c r="C7" s="3" t="n">
        <v>3</v>
      </c>
      <c r="D7" s="4" t="str">
        <f aca="false">IFERROR(INDEX(ticket!B:B,MATCH(A7,ticket!E:E,0)),"")</f>
        <v>2021-08-24 10:15:00</v>
      </c>
    </row>
    <row r="8" customFormat="false" ht="15" hidden="false" customHeight="true" outlineLevel="0" collapsed="false">
      <c r="A8" s="3" t="s">
        <v>35</v>
      </c>
      <c r="B8" s="3" t="s">
        <v>49</v>
      </c>
      <c r="C8" s="3" t="n">
        <v>4</v>
      </c>
      <c r="D8" s="4" t="str">
        <f aca="false">IFERROR(INDEX(ticket!B:B,MATCH(A8,ticket!E:E,0)),"")</f>
        <v>2021-08-25 07:00:00</v>
      </c>
    </row>
    <row r="9" customFormat="false" ht="15" hidden="false" customHeight="true" outlineLevel="0" collapsed="false">
      <c r="A9" s="3" t="s">
        <v>39</v>
      </c>
      <c r="B9" s="3" t="s">
        <v>50</v>
      </c>
      <c r="C9" s="3" t="n">
        <v>5</v>
      </c>
      <c r="D9" s="4" t="str">
        <f aca="false">IFERROR(INDEX(ticket!B:B,MATCH(A9,ticket!E:E,0)),"")</f>
        <v>2021-08-25 13:30:00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7" min="5" style="1" width="12"/>
  </cols>
  <sheetData>
    <row r="1" customFormat="false" ht="30" hidden="false" customHeight="true" outlineLevel="0" collapsed="false">
      <c r="A1" s="5" t="s">
        <v>51</v>
      </c>
      <c r="B1" s="5"/>
      <c r="C1" s="5"/>
      <c r="D1" s="5"/>
      <c r="E1" s="5"/>
      <c r="F1" s="5"/>
      <c r="G1" s="5"/>
    </row>
    <row r="2" customFormat="false" ht="26.2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52</v>
      </c>
      <c r="G2" s="2" t="s">
        <v>53</v>
      </c>
    </row>
    <row r="3" customFormat="false" ht="15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6" t="b">
        <f aca="false">IF(INT(B3)=INT(C3),TRUE(),FALSE())</f>
        <v>0</v>
      </c>
      <c r="G3" s="6" t="b">
        <f aca="false">IF(TEXT(B3,"YYYY-MM-DD HH")=TEXT(C3,"YYYY-MM-DD HH"),TRUE(),FALSE())</f>
        <v>0</v>
      </c>
    </row>
    <row r="4" customFormat="false" ht="15" hidden="false" customHeight="true" outlineLevel="0" collapsed="false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6" t="b">
        <f aca="false">IF(INT(B4)=INT(C4),TRUE(),FALSE())</f>
        <v>1</v>
      </c>
      <c r="G4" s="6" t="b">
        <f aca="false">IF(TEXT(B4,"YYYY-MM-DD HH")=TEXT(C4,"YYYY-MM-DD HH"),TRUE(),FALSE())</f>
        <v>0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8</v>
      </c>
      <c r="E5" s="3" t="s">
        <v>18</v>
      </c>
      <c r="F5" s="6" t="b">
        <f aca="false">IF(INT(B5)=INT(C5),TRUE(),FALSE())</f>
        <v>1</v>
      </c>
      <c r="G5" s="6" t="b">
        <f aca="false">IF(TEXT(B5,"YYYY-MM-DD HH")=TEXT(C5,"YYYY-MM-DD HH"),TRUE(),FALSE())</f>
        <v>1</v>
      </c>
    </row>
    <row r="6" customFormat="false" ht="15" hidden="false" customHeight="tru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6" t="b">
        <f aca="false">IF(INT(B6)=INT(C6),TRUE(),FALSE())</f>
        <v>0</v>
      </c>
      <c r="G6" s="6" t="b">
        <f aca="false">IF(TEXT(B6,"YYYY-MM-DD HH")=TEXT(C6,"YYYY-MM-DD HH"),TRUE(),FALSE())</f>
        <v>0</v>
      </c>
    </row>
    <row r="7" customFormat="false" ht="1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13</v>
      </c>
      <c r="E7" s="3" t="s">
        <v>27</v>
      </c>
      <c r="F7" s="6" t="b">
        <f aca="false">IF(INT(B7)=INT(C7),TRUE(),FALSE())</f>
        <v>1</v>
      </c>
      <c r="G7" s="6" t="b">
        <f aca="false">IF(TEXT(B7,"YYYY-MM-DD HH")=TEXT(C7,"YYYY-MM-DD HH"),TRUE(),FALSE())</f>
        <v>1</v>
      </c>
    </row>
    <row r="8" customFormat="false" ht="15" hidden="false" customHeight="true" outlineLevel="0" collapsed="false">
      <c r="A8" s="3" t="s">
        <v>28</v>
      </c>
      <c r="B8" s="3" t="s">
        <v>29</v>
      </c>
      <c r="C8" s="3" t="s">
        <v>30</v>
      </c>
      <c r="D8" s="3" t="s">
        <v>22</v>
      </c>
      <c r="E8" s="3" t="s">
        <v>31</v>
      </c>
      <c r="F8" s="6" t="b">
        <f aca="false">IF(INT(B8)=INT(C8),TRUE(),FALSE())</f>
        <v>1</v>
      </c>
      <c r="G8" s="6" t="b">
        <f aca="false">IF(TEXT(B8,"YYYY-MM-DD HH")=TEXT(C8,"YYYY-MM-DD HH"),TRUE(),FALSE())</f>
        <v>1</v>
      </c>
    </row>
    <row r="9" customFormat="false" ht="15" hidden="false" customHeight="true" outlineLevel="0" collapsed="false">
      <c r="A9" s="3" t="s">
        <v>32</v>
      </c>
      <c r="B9" s="3" t="s">
        <v>33</v>
      </c>
      <c r="C9" s="3" t="s">
        <v>34</v>
      </c>
      <c r="D9" s="3" t="s">
        <v>8</v>
      </c>
      <c r="E9" s="3" t="s">
        <v>35</v>
      </c>
      <c r="F9" s="6" t="b">
        <f aca="false">IF(INT(B9)=INT(C9),TRUE(),FALSE())</f>
        <v>0</v>
      </c>
      <c r="G9" s="6" t="b">
        <f aca="false">IF(TEXT(B9,"YYYY-MM-DD HH")=TEXT(C9,"YYYY-MM-DD HH"),TRUE(),FALSE())</f>
        <v>0</v>
      </c>
    </row>
    <row r="10" customFormat="false" ht="15" hidden="false" customHeight="true" outlineLevel="0" collapsed="false">
      <c r="A10" s="3" t="s">
        <v>36</v>
      </c>
      <c r="B10" s="3" t="s">
        <v>37</v>
      </c>
      <c r="C10" s="3" t="s">
        <v>38</v>
      </c>
      <c r="D10" s="3" t="s">
        <v>13</v>
      </c>
      <c r="E10" s="3" t="s">
        <v>39</v>
      </c>
      <c r="F10" s="6" t="b">
        <f aca="false">IF(INT(B10)=INT(C10),TRUE(),FALSE())</f>
        <v>1</v>
      </c>
      <c r="G10" s="6" t="b">
        <f aca="false">IF(TEXT(B10,"YYYY-MM-DD HH")=TEXT(C10,"YYYY-MM-DD HH"),TRUE(),FALSE())</f>
        <v>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8"/>
  </cols>
  <sheetData>
    <row r="1" customFormat="false" ht="30" hidden="false" customHeight="true" outlineLevel="0" collapsed="false">
      <c r="A1" s="5" t="s">
        <v>54</v>
      </c>
      <c r="B1" s="5"/>
      <c r="C1" s="5"/>
      <c r="D1" s="5"/>
    </row>
    <row r="3" customFormat="false" ht="15" hidden="false" customHeight="true" outlineLevel="0" collapsed="false">
      <c r="A3" s="7" t="s">
        <v>55</v>
      </c>
      <c r="B3" s="7"/>
      <c r="C3" s="7"/>
      <c r="D3" s="7"/>
    </row>
    <row r="4" customFormat="false" ht="15" hidden="false" customHeight="true" outlineLevel="0" collapsed="false">
      <c r="A4" s="2" t="s">
        <v>56</v>
      </c>
      <c r="B4" s="2" t="s">
        <v>57</v>
      </c>
    </row>
    <row r="5" customFormat="false" ht="15" hidden="false" customHeight="true" outlineLevel="0" collapsed="false">
      <c r="A5" s="3" t="s">
        <v>13</v>
      </c>
      <c r="B5" s="4" t="n">
        <f aca="false">COUNTIFS(Helper_Columns!D$3:D$100,A5,Helper_Columns!F$3:F$100,TRUE())</f>
        <v>3</v>
      </c>
    </row>
    <row r="6" customFormat="false" ht="15" hidden="false" customHeight="true" outlineLevel="0" collapsed="false">
      <c r="A6" s="3" t="s">
        <v>22</v>
      </c>
      <c r="B6" s="4" t="n">
        <f aca="false">COUNTIFS(Helper_Columns!D$3:D$100,A6,Helper_Columns!F$3:F$100,TRUE())</f>
        <v>1</v>
      </c>
    </row>
    <row r="7" customFormat="false" ht="15" hidden="false" customHeight="true" outlineLevel="0" collapsed="false">
      <c r="A7" s="3" t="s">
        <v>8</v>
      </c>
      <c r="B7" s="4" t="n">
        <f aca="false">COUNTIFS(Helper_Columns!D$3:D$100,A7,Helper_Columns!F$3:F$100,TRUE())</f>
        <v>1</v>
      </c>
    </row>
    <row r="10" customFormat="false" ht="15" hidden="false" customHeight="true" outlineLevel="0" collapsed="false">
      <c r="A10" s="7" t="s">
        <v>58</v>
      </c>
      <c r="B10" s="7"/>
      <c r="C10" s="7"/>
      <c r="D10" s="7"/>
    </row>
    <row r="11" customFormat="false" ht="26.25" hidden="false" customHeight="true" outlineLevel="0" collapsed="false">
      <c r="A11" s="2" t="s">
        <v>56</v>
      </c>
      <c r="B11" s="2" t="s">
        <v>59</v>
      </c>
    </row>
    <row r="12" customFormat="false" ht="15" hidden="false" customHeight="true" outlineLevel="0" collapsed="false">
      <c r="A12" s="3" t="s">
        <v>13</v>
      </c>
      <c r="B12" s="4" t="n">
        <f aca="false">COUNTIFS(Helper_Columns!D$3:D$100,A12,Helper_Columns!G$3:G$100,TRUE())</f>
        <v>2</v>
      </c>
    </row>
    <row r="13" customFormat="false" ht="15" hidden="false" customHeight="true" outlineLevel="0" collapsed="false">
      <c r="A13" s="3" t="s">
        <v>22</v>
      </c>
      <c r="B13" s="4" t="n">
        <f aca="false">COUNTIFS(Helper_Columns!D$3:D$100,A13,Helper_Columns!G$3:G$100,TRUE())</f>
        <v>1</v>
      </c>
    </row>
    <row r="14" customFormat="false" ht="15" hidden="false" customHeight="true" outlineLevel="0" collapsed="false">
      <c r="A14" s="3" t="s">
        <v>8</v>
      </c>
      <c r="B14" s="4" t="n">
        <f aca="false">COUNTIFS(Helper_Columns!D$3:D$100,A14,Helper_Columns!G$3:G$100,TRUE())</f>
        <v>1</v>
      </c>
    </row>
  </sheetData>
  <mergeCells count="3">
    <mergeCell ref="A1:D1"/>
    <mergeCell ref="A3:D3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  <col collapsed="false" customWidth="true" hidden="false" outlineLevel="0" max="3" min="3" style="1" width="55"/>
  </cols>
  <sheetData>
    <row r="1" customFormat="false" ht="34.5" hidden="false" customHeight="true" outlineLevel="0" collapsed="false">
      <c r="A1" s="8" t="s">
        <v>60</v>
      </c>
      <c r="B1" s="8"/>
      <c r="C1" s="8"/>
    </row>
    <row r="3" customFormat="false" ht="15" hidden="false" customHeight="true" outlineLevel="0" collapsed="false">
      <c r="A3" s="2" t="s">
        <v>61</v>
      </c>
      <c r="B3" s="2" t="s">
        <v>62</v>
      </c>
      <c r="C3" s="2" t="s">
        <v>63</v>
      </c>
    </row>
    <row r="4" customFormat="false" ht="15" hidden="false" customHeight="true" outlineLevel="0" collapsed="false">
      <c r="A4" s="3" t="s">
        <v>64</v>
      </c>
      <c r="B4" s="4" t="str">
        <f aca="false">IFERROR(INDEX(ticket!B:B,MATCH(A2,ticket!E:E,0)),"")</f>
        <v/>
      </c>
      <c r="C4" s="3" t="s">
        <v>65</v>
      </c>
    </row>
    <row r="5" customFormat="false" ht="15" hidden="false" customHeight="true" outlineLevel="0" collapsed="false">
      <c r="A5" s="3" t="s">
        <v>66</v>
      </c>
      <c r="B5" s="4" t="s">
        <v>67</v>
      </c>
      <c r="C5" s="3" t="s">
        <v>68</v>
      </c>
    </row>
    <row r="6" customFormat="false" ht="15" hidden="false" customHeight="true" outlineLevel="0" collapsed="false">
      <c r="A6" s="3" t="s">
        <v>69</v>
      </c>
      <c r="B6" s="4" t="s">
        <v>70</v>
      </c>
      <c r="C6" s="3" t="s">
        <v>71</v>
      </c>
    </row>
    <row r="7" customFormat="false" ht="15" hidden="false" customHeight="true" outlineLevel="0" collapsed="false">
      <c r="A7" s="3" t="s">
        <v>72</v>
      </c>
      <c r="B7" s="4" t="s">
        <v>73</v>
      </c>
      <c r="C7" s="3" t="s">
        <v>74</v>
      </c>
    </row>
    <row r="8" customFormat="false" ht="15" hidden="false" customHeight="true" outlineLevel="0" collapsed="false">
      <c r="A8" s="3" t="s">
        <v>75</v>
      </c>
      <c r="B8" s="4" t="s">
        <v>76</v>
      </c>
      <c r="C8" s="3" t="s">
        <v>77</v>
      </c>
    </row>
    <row r="9" customFormat="false" ht="15" hidden="false" customHeight="false" outlineLevel="0" collapsed="false">
      <c r="B9" s="1" t="s">
        <v>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2026-04-09T07:56:28Z</dcterms:created>
  <dc:creator>openpyxl</dc:creator>
  <dc:description/>
  <dc:language>en-US</dc:language>
  <cp:lastModifiedBy/>
  <dcterms:modified xsi:type="dcterms:W3CDTF">2026-04-09T07:56:49Z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